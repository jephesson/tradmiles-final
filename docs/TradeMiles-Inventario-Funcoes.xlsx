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Funções" sheetId="2" state="visible" r:id="rId2"/>
    <sheet name="Resumo" sheetId="3" state="visible" r:id="rId3"/>
  </sheets>
  <definedNames>
    <definedName name="_xlnm._FilterDatabase" localSheetId="1" hidden="1">'Funções'!$A$1:$G$103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6"/>
    </font>
    <font>
      <b val="1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TradeMiles — Inventário de funções (venda de código)</t>
        </is>
      </c>
    </row>
    <row r="3">
      <c r="A3" s="2" t="inlineStr">
        <is>
          <t>Como usar</t>
        </is>
      </c>
    </row>
    <row r="4">
      <c r="A4" t="inlineStr">
        <is>
          <t>1. Abra a aba 'Funções'.</t>
        </is>
      </c>
    </row>
    <row r="5">
      <c r="A5" t="inlineStr">
        <is>
          <t>2. Na coluna E (Interesse?), escolha Sim ou Não para cada item.</t>
        </is>
      </c>
    </row>
    <row r="6">
      <c r="A6" t="inlineStr">
        <is>
          <t>3. Use a coluna F (Observações do interessado) para anotar o que importa.</t>
        </is>
      </c>
    </row>
    <row r="7">
      <c r="A7" t="inlineStr">
        <is>
          <t>4. A aba 'Resumo' conta automaticamente quantos Sim/Não/em branco.</t>
        </is>
      </c>
    </row>
    <row r="8">
      <c r="A8" t="inlineStr">
        <is>
          <t>5. Filtre por Módulo ou Interesse no Excel (Dados → Filtro).</t>
        </is>
      </c>
    </row>
    <row r="9">
      <c r="A9" t="inlineStr"/>
    </row>
    <row r="10">
      <c r="A10" t="inlineStr">
        <is>
          <t>Contexto: inventário baseado no código atual do TradeMiles (dashboard, APIs, VIP, afiliados, extensão LATAM).</t>
        </is>
      </c>
    </row>
    <row r="11">
      <c r="A11" t="inlineStr">
        <is>
          <t>Não inclui itens de menu sem implementação real (ex.: Automação sem página).</t>
        </is>
      </c>
    </row>
    <row r="12">
      <c r="A12" t="inlineStr"/>
    </row>
    <row r="13">
      <c r="A13" t="inlineStr">
        <is>
          <t>Sugestão de uso comercial: envie esta planilha ao comprador e peça para marcar o que quer manter/customizar.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72" customWidth="1" min="4" max="4"/>
    <col width="14" customWidth="1" min="5" max="5"/>
    <col width="36" customWidth="1" min="6" max="6"/>
    <col width="18" customWidth="1" min="7" max="7"/>
  </cols>
  <sheetData>
    <row r="1" ht="28" customHeight="1">
      <c r="A1" s="3" t="inlineStr">
        <is>
          <t>#</t>
        </is>
      </c>
      <c r="B1" s="3" t="inlineStr">
        <is>
          <t>Módulo</t>
        </is>
      </c>
      <c r="C1" s="3" t="inlineStr">
        <is>
          <t>Função</t>
        </is>
      </c>
      <c r="D1" s="3" t="inlineStr">
        <is>
          <t>Descrição</t>
        </is>
      </c>
      <c r="E1" s="3" t="inlineStr">
        <is>
          <t>Interesse?</t>
        </is>
      </c>
      <c r="F1" s="3" t="inlineStr">
        <is>
          <t>Observações do interessado</t>
        </is>
      </c>
      <c r="G1" s="3" t="inlineStr">
        <is>
          <t>Complexidade no código</t>
        </is>
      </c>
    </row>
    <row r="2">
      <c r="A2" s="4" t="n">
        <v>1</v>
      </c>
      <c r="B2" s="4" t="inlineStr">
        <is>
          <t>Autenticação e acesso</t>
        </is>
      </c>
      <c r="C2" s="5" t="inlineStr">
        <is>
          <t>Login staff/admin</t>
        </is>
      </c>
      <c r="D2" s="5" t="inlineStr">
        <is>
          <t>Login em /login com cookie de sessão e proteção do dashboard</t>
        </is>
      </c>
      <c r="E2" s="6" t="inlineStr"/>
      <c r="F2" s="5" t="inlineStr"/>
      <c r="G2" s="4" t="inlineStr">
        <is>
          <t>Alta</t>
        </is>
      </c>
    </row>
    <row r="3">
      <c r="A3" s="7" t="n">
        <v>2</v>
      </c>
      <c r="B3" s="7" t="inlineStr">
        <is>
          <t>Autenticação e acesso</t>
        </is>
      </c>
      <c r="C3" s="8" t="inlineStr">
        <is>
          <t>Sessão e roles</t>
        </is>
      </c>
      <c r="D3" s="8" t="inlineStr">
        <is>
          <t>Sessão com roles admin/staff e refresh de sessão</t>
        </is>
      </c>
      <c r="E3" s="6" t="inlineStr"/>
      <c r="F3" s="8" t="inlineStr"/>
      <c r="G3" s="7" t="inlineStr">
        <is>
          <t>Alta</t>
        </is>
      </c>
    </row>
    <row r="4">
      <c r="A4" s="4" t="n">
        <v>3</v>
      </c>
      <c r="B4" s="4" t="inlineStr">
        <is>
          <t>Autenticação e acesso</t>
        </is>
      </c>
      <c r="C4" s="5" t="inlineStr">
        <is>
          <t>Logout</t>
        </is>
      </c>
      <c r="D4" s="5" t="inlineStr">
        <is>
          <t>Encerramento de sessão pelo menu</t>
        </is>
      </c>
      <c r="E4" s="6" t="inlineStr"/>
      <c r="F4" s="5" t="inlineStr"/>
      <c r="G4" s="4" t="inlineStr">
        <is>
          <t>Baixa</t>
        </is>
      </c>
    </row>
    <row r="5">
      <c r="A5" s="7" t="n">
        <v>4</v>
      </c>
      <c r="B5" s="7" t="inlineStr">
        <is>
          <t>Autenticação e acesso</t>
        </is>
      </c>
      <c r="C5" s="8" t="inlineStr">
        <is>
          <t>Configurações (admin)</t>
        </is>
      </c>
      <c r="D5" s="8" t="inlineStr">
        <is>
          <t>Comissões, bônus e alertas de e-mail (protegido)</t>
        </is>
      </c>
      <c r="E5" s="6" t="inlineStr"/>
      <c r="F5" s="8" t="inlineStr"/>
      <c r="G5" s="7" t="inlineStr">
        <is>
          <t>Alta</t>
        </is>
      </c>
    </row>
    <row r="6">
      <c r="A6" s="4" t="n">
        <v>5</v>
      </c>
      <c r="B6" s="4" t="inlineStr">
        <is>
          <t>Página inicial e equipe</t>
        </is>
      </c>
      <c r="C6" s="5" t="inlineStr">
        <is>
          <t>Página inicial</t>
        </is>
      </c>
      <c r="D6" s="5" t="inlineStr">
        <is>
          <t>Agenda do dia + presença online da equipe</t>
        </is>
      </c>
      <c r="E6" s="6" t="inlineStr"/>
      <c r="F6" s="5" t="inlineStr"/>
      <c r="G6" s="4" t="inlineStr">
        <is>
          <t>Média</t>
        </is>
      </c>
    </row>
    <row r="7">
      <c r="A7" s="7" t="n">
        <v>6</v>
      </c>
      <c r="B7" s="7" t="inlineStr">
        <is>
          <t>Página inicial e equipe</t>
        </is>
      </c>
      <c r="C7" s="8" t="inlineStr">
        <is>
          <t>Presence ping</t>
        </is>
      </c>
      <c r="D7" s="8" t="inlineStr">
        <is>
          <t>Heartbeat de presença dos usuários logados</t>
        </is>
      </c>
      <c r="E7" s="6" t="inlineStr"/>
      <c r="F7" s="8" t="inlineStr"/>
      <c r="G7" s="7" t="inlineStr">
        <is>
          <t>Baixa</t>
        </is>
      </c>
    </row>
    <row r="8">
      <c r="A8" s="4" t="n">
        <v>7</v>
      </c>
      <c r="B8" s="4" t="inlineStr">
        <is>
          <t>Página inicial e equipe</t>
        </is>
      </c>
      <c r="C8" s="5" t="inlineStr">
        <is>
          <t>Agenda (turnos/faltas)</t>
        </is>
      </c>
      <c r="D8" s="5" t="inlineStr">
        <is>
          <t>CRUD de eventos SHIFT/ABSENCE com cores por membro</t>
        </is>
      </c>
      <c r="E8" s="6" t="inlineStr"/>
      <c r="F8" s="5" t="inlineStr"/>
      <c r="G8" s="4" t="inlineStr">
        <is>
          <t>Média</t>
        </is>
      </c>
    </row>
    <row r="9">
      <c r="A9" s="7" t="n">
        <v>8</v>
      </c>
      <c r="B9" s="7" t="inlineStr">
        <is>
          <t>Página inicial e equipe</t>
        </is>
      </c>
      <c r="C9" s="8" t="inlineStr">
        <is>
          <t>Avisos</t>
        </is>
      </c>
      <c r="D9" s="8" t="inlineStr">
        <is>
          <t>Quadro de avisos por grupo/usuário (pendente/resolvido)</t>
        </is>
      </c>
      <c r="E9" s="6" t="inlineStr"/>
      <c r="F9" s="8" t="inlineStr"/>
      <c r="G9" s="7" t="inlineStr">
        <is>
          <t>Média</t>
        </is>
      </c>
    </row>
    <row r="10">
      <c r="A10" s="4" t="n">
        <v>9</v>
      </c>
      <c r="B10" s="4" t="inlineStr">
        <is>
          <t>Página inicial e equipe</t>
        </is>
      </c>
      <c r="C10" s="5" t="inlineStr">
        <is>
          <t>Anotações</t>
        </is>
      </c>
      <c r="D10" s="5" t="inlineStr">
        <is>
          <t>Notas internas da equipe</t>
        </is>
      </c>
      <c r="E10" s="6" t="inlineStr"/>
      <c r="F10" s="5" t="inlineStr"/>
      <c r="G10" s="4" t="inlineStr">
        <is>
          <t>Baixa</t>
        </is>
      </c>
    </row>
    <row r="11">
      <c r="A11" s="7" t="n">
        <v>10</v>
      </c>
      <c r="B11" s="7" t="inlineStr">
        <is>
          <t>Cedentes</t>
        </is>
      </c>
      <c r="C11" s="8" t="inlineStr">
        <is>
          <t>Cadastrar cedente</t>
        </is>
      </c>
      <c r="D11" s="8" t="inlineStr">
        <is>
          <t>Formulário interno de novo cedente</t>
        </is>
      </c>
      <c r="E11" s="6" t="inlineStr"/>
      <c r="F11" s="8" t="inlineStr"/>
      <c r="G11" s="7" t="inlineStr">
        <is>
          <t>Alta</t>
        </is>
      </c>
    </row>
    <row r="12">
      <c r="A12" s="4" t="n">
        <v>11</v>
      </c>
      <c r="B12" s="4" t="inlineStr">
        <is>
          <t>Cedentes</t>
        </is>
      </c>
      <c r="C12" s="5" t="inlineStr">
        <is>
          <t>Importar cedentes</t>
        </is>
      </c>
      <c r="D12" s="5" t="inlineStr">
        <is>
          <t>Importação em lote de cedentes</t>
        </is>
      </c>
      <c r="E12" s="6" t="inlineStr"/>
      <c r="F12" s="5" t="inlineStr"/>
      <c r="G12" s="4" t="inlineStr">
        <is>
          <t>Alta</t>
        </is>
      </c>
    </row>
    <row r="13">
      <c r="A13" s="7" t="n">
        <v>12</v>
      </c>
      <c r="B13" s="7" t="inlineStr">
        <is>
          <t>Cedentes</t>
        </is>
      </c>
      <c r="C13" s="8" t="inlineStr">
        <is>
          <t>Cedentes pendentes</t>
        </is>
      </c>
      <c r="D13" s="8" t="inlineStr">
        <is>
          <t>Fila de aprovação/revisão de cadastros</t>
        </is>
      </c>
      <c r="E13" s="6" t="inlineStr"/>
      <c r="F13" s="8" t="inlineStr"/>
      <c r="G13" s="7" t="inlineStr">
        <is>
          <t>Alta</t>
        </is>
      </c>
    </row>
    <row r="14">
      <c r="A14" s="4" t="n">
        <v>13</v>
      </c>
      <c r="B14" s="4" t="inlineStr">
        <is>
          <t>Cedentes</t>
        </is>
      </c>
      <c r="C14" s="5" t="inlineStr">
        <is>
          <t>Redirecionar e-mail</t>
        </is>
      </c>
      <c r="D14" s="5" t="inlineStr">
        <is>
          <t>Gestão de e-mails redirecionados do cedente</t>
        </is>
      </c>
      <c r="E14" s="6" t="inlineStr"/>
      <c r="F14" s="5" t="inlineStr"/>
      <c r="G14" s="4" t="inlineStr">
        <is>
          <t>Alta</t>
        </is>
      </c>
    </row>
    <row r="15">
      <c r="A15" s="7" t="n">
        <v>14</v>
      </c>
      <c r="B15" s="7" t="inlineStr">
        <is>
          <t>Cedentes</t>
        </is>
      </c>
      <c r="C15" s="8" t="inlineStr">
        <is>
          <t>Histórico de cadastro</t>
        </is>
      </c>
      <c r="D15" s="8" t="inlineStr">
        <is>
          <t>Histórico com revelação/cópia de credenciais por programa</t>
        </is>
      </c>
      <c r="E15" s="6" t="inlineStr"/>
      <c r="F15" s="8" t="inlineStr"/>
      <c r="G15" s="7" t="inlineStr">
        <is>
          <t>Alta</t>
        </is>
      </c>
    </row>
    <row r="16">
      <c r="A16" s="4" t="n">
        <v>15</v>
      </c>
      <c r="B16" s="4" t="inlineStr">
        <is>
          <t>Cedentes</t>
        </is>
      </c>
      <c r="C16" s="5" t="inlineStr">
        <is>
          <t>Score cedentes</t>
        </is>
      </c>
      <c r="D16" s="5" t="inlineStr">
        <is>
          <t>Score/ranking de qualidade ou risco</t>
        </is>
      </c>
      <c r="E16" s="6" t="inlineStr"/>
      <c r="F16" s="5" t="inlineStr"/>
      <c r="G16" s="4" t="inlineStr">
        <is>
          <t>Média</t>
        </is>
      </c>
    </row>
    <row r="17">
      <c r="A17" s="7" t="n">
        <v>16</v>
      </c>
      <c r="B17" s="7" t="inlineStr">
        <is>
          <t>Cedentes</t>
        </is>
      </c>
      <c r="C17" s="8" t="inlineStr">
        <is>
          <t>Exclusão definitiva</t>
        </is>
      </c>
      <c r="D17" s="8" t="inlineStr">
        <is>
          <t>Exclusão com motivos, PDF de credenciais e liberação de CPF</t>
        </is>
      </c>
      <c r="E17" s="6" t="inlineStr"/>
      <c r="F17" s="8" t="inlineStr"/>
      <c r="G17" s="7" t="inlineStr">
        <is>
          <t>Alta</t>
        </is>
      </c>
    </row>
    <row r="18">
      <c r="A18" s="4" t="n">
        <v>17</v>
      </c>
      <c r="B18" s="4" t="inlineStr">
        <is>
          <t>Cedentes</t>
        </is>
      </c>
      <c r="C18" s="5" t="inlineStr">
        <is>
          <t>Contas bloqueadas</t>
        </is>
      </c>
      <c r="D18" s="5" t="inlineStr">
        <is>
          <t>Bloqueios por programa + observações</t>
        </is>
      </c>
      <c r="E18" s="6" t="inlineStr"/>
      <c r="F18" s="5" t="inlineStr"/>
      <c r="G18" s="4" t="inlineStr">
        <is>
          <t>Alta</t>
        </is>
      </c>
    </row>
    <row r="19">
      <c r="A19" s="7" t="n">
        <v>18</v>
      </c>
      <c r="B19" s="7" t="inlineStr">
        <is>
          <t>Cedentes</t>
        </is>
      </c>
      <c r="C19" s="8" t="inlineStr">
        <is>
          <t>Detalhe/edição do cedente</t>
        </is>
      </c>
      <c r="D19" s="8" t="inlineStr">
        <is>
          <t>Página completa por ID (dados, pontos, etc.)</t>
        </is>
      </c>
      <c r="E19" s="6" t="inlineStr"/>
      <c r="F19" s="8" t="inlineStr"/>
      <c r="G19" s="7" t="inlineStr">
        <is>
          <t>Alta</t>
        </is>
      </c>
    </row>
    <row r="20">
      <c r="A20" s="4" t="n">
        <v>19</v>
      </c>
      <c r="B20" s="4" t="inlineStr">
        <is>
          <t>Cedentes</t>
        </is>
      </c>
      <c r="C20" s="5" t="inlineStr">
        <is>
          <t>Revisão de termos</t>
        </is>
      </c>
      <c r="D20" s="5" t="inlineStr">
        <is>
          <t>Fluxo de revisão/aceite de termos</t>
        </is>
      </c>
      <c r="E20" s="6" t="inlineStr"/>
      <c r="F20" s="5" t="inlineStr"/>
      <c r="G20" s="4" t="inlineStr">
        <is>
          <t>Média</t>
        </is>
      </c>
    </row>
    <row r="21">
      <c r="A21" s="7" t="n">
        <v>20</v>
      </c>
      <c r="B21" s="7" t="inlineStr">
        <is>
          <t>Cedentes</t>
        </is>
      </c>
      <c r="C21" s="8" t="inlineStr">
        <is>
          <t>Mensagem pronta</t>
        </is>
      </c>
      <c r="D21" s="8" t="inlineStr">
        <is>
          <t>Templates de mensagem para WhatsApp</t>
        </is>
      </c>
      <c r="E21" s="6" t="inlineStr"/>
      <c r="F21" s="8" t="inlineStr"/>
      <c r="G21" s="7" t="inlineStr">
        <is>
          <t>Baixa</t>
        </is>
      </c>
    </row>
    <row r="22">
      <c r="A22" s="4" t="n">
        <v>21</v>
      </c>
      <c r="B22" s="4" t="inlineStr">
        <is>
          <t>Cedentes</t>
        </is>
      </c>
      <c r="C22" s="5" t="inlineStr">
        <is>
          <t>WhatsApp cedentes</t>
        </is>
      </c>
      <c r="D22" s="5" t="inlineStr">
        <is>
          <t>Lista com links diretos para WhatsApp</t>
        </is>
      </c>
      <c r="E22" s="6" t="inlineStr"/>
      <c r="F22" s="5" t="inlineStr"/>
      <c r="G22" s="4" t="inlineStr">
        <is>
          <t>Baixa</t>
        </is>
      </c>
    </row>
    <row r="23">
      <c r="A23" s="7" t="n">
        <v>22</v>
      </c>
      <c r="B23" s="7" t="inlineStr">
        <is>
          <t>Cedentes</t>
        </is>
      </c>
      <c r="C23" s="8" t="inlineStr">
        <is>
          <t>Revelar credencial</t>
        </is>
      </c>
      <c r="D23" s="8" t="inlineStr">
        <is>
          <t>API de revelação controlada de senhas</t>
        </is>
      </c>
      <c r="E23" s="6" t="inlineStr"/>
      <c r="F23" s="8" t="inlineStr"/>
      <c r="G23" s="7" t="inlineStr">
        <is>
          <t>Alta</t>
        </is>
      </c>
    </row>
    <row r="24">
      <c r="A24" s="4" t="n">
        <v>23</v>
      </c>
      <c r="B24" s="4" t="inlineStr">
        <is>
          <t>Funcionários</t>
        </is>
      </c>
      <c r="C24" s="5" t="inlineStr">
        <is>
          <t>Cadastrar funcionário</t>
        </is>
      </c>
      <c r="D24" s="5" t="inlineStr">
        <is>
          <t>Criação de usuário staff</t>
        </is>
      </c>
      <c r="E24" s="6" t="inlineStr"/>
      <c r="F24" s="5" t="inlineStr"/>
      <c r="G24" s="4" t="inlineStr">
        <is>
          <t>Alta</t>
        </is>
      </c>
    </row>
    <row r="25">
      <c r="A25" s="7" t="n">
        <v>24</v>
      </c>
      <c r="B25" s="7" t="inlineStr">
        <is>
          <t>Funcionários</t>
        </is>
      </c>
      <c r="C25" s="8" t="inlineStr">
        <is>
          <t>Listar/editar funcionários</t>
        </is>
      </c>
      <c r="D25" s="8" t="inlineStr">
        <is>
          <t>Visualização e edição de staff</t>
        </is>
      </c>
      <c r="E25" s="6" t="inlineStr"/>
      <c r="F25" s="8" t="inlineStr"/>
      <c r="G25" s="7" t="inlineStr">
        <is>
          <t>Alta</t>
        </is>
      </c>
    </row>
    <row r="26">
      <c r="A26" s="4" t="n">
        <v>25</v>
      </c>
      <c r="B26" s="4" t="inlineStr">
        <is>
          <t>Funcionários</t>
        </is>
      </c>
      <c r="C26" s="5" t="inlineStr">
        <is>
          <t>Rateio do lucro</t>
        </is>
      </c>
      <c r="D26" s="5" t="inlineStr">
        <is>
          <t>Configuração de participação no rateio</t>
        </is>
      </c>
      <c r="E26" s="6" t="inlineStr"/>
      <c r="F26" s="5" t="inlineStr"/>
      <c r="G26" s="4" t="inlineStr">
        <is>
          <t>Alta</t>
        </is>
      </c>
    </row>
    <row r="27">
      <c r="A27" s="7" t="n">
        <v>26</v>
      </c>
      <c r="B27" s="7" t="inlineStr">
        <is>
          <t>Funcionários</t>
        </is>
      </c>
      <c r="C27" s="8" t="inlineStr">
        <is>
          <t>Dados de pagamento</t>
        </is>
      </c>
      <c r="D27" s="8" t="inlineStr">
        <is>
          <t>Cartões de pagamento para emissão LATAM</t>
        </is>
      </c>
      <c r="E27" s="6" t="inlineStr"/>
      <c r="F27" s="8" t="inlineStr"/>
      <c r="G27" s="7" t="inlineStr">
        <is>
          <t>Alta</t>
        </is>
      </c>
    </row>
    <row r="28">
      <c r="A28" s="4" t="n">
        <v>27</v>
      </c>
      <c r="B28" s="4" t="inlineStr">
        <is>
          <t>Clientes</t>
        </is>
      </c>
      <c r="C28" s="5" t="inlineStr">
        <is>
          <t>CRUD de clientes</t>
        </is>
      </c>
      <c r="D28" s="5" t="inlineStr">
        <is>
          <t>Cadastrar, listar e editar clientes compradores</t>
        </is>
      </c>
      <c r="E28" s="6" t="inlineStr"/>
      <c r="F28" s="5" t="inlineStr"/>
      <c r="G28" s="4" t="inlineStr">
        <is>
          <t>Alta</t>
        </is>
      </c>
    </row>
    <row r="29">
      <c r="A29" s="7" t="n">
        <v>28</v>
      </c>
      <c r="B29" s="7" t="inlineStr">
        <is>
          <t>Clientes</t>
        </is>
      </c>
      <c r="C29" s="8" t="inlineStr">
        <is>
          <t>Exportação de clientes</t>
        </is>
      </c>
      <c r="D29" s="8" t="inlineStr">
        <is>
          <t>Export da base de clientes</t>
        </is>
      </c>
      <c r="E29" s="6" t="inlineStr"/>
      <c r="F29" s="8" t="inlineStr"/>
      <c r="G29" s="7" t="inlineStr">
        <is>
          <t>Média</t>
        </is>
      </c>
    </row>
    <row r="30">
      <c r="A30" s="4" t="n">
        <v>29</v>
      </c>
      <c r="B30" s="4" t="inlineStr">
        <is>
          <t>Afiliados (admin)</t>
        </is>
      </c>
      <c r="C30" s="5" t="inlineStr">
        <is>
          <t>Gerenciar afiliados</t>
        </is>
      </c>
      <c r="D30" s="5" t="inlineStr">
        <is>
          <t>CRUD, links e comissão (bps)</t>
        </is>
      </c>
      <c r="E30" s="6" t="inlineStr"/>
      <c r="F30" s="5" t="inlineStr"/>
      <c r="G30" s="4" t="inlineStr">
        <is>
          <t>Alta</t>
        </is>
      </c>
    </row>
    <row r="31">
      <c r="A31" s="7" t="n">
        <v>30</v>
      </c>
      <c r="B31" s="7" t="inlineStr">
        <is>
          <t>Pendências</t>
        </is>
      </c>
      <c r="C31" s="8" t="inlineStr">
        <is>
          <t>Pendências Latam</t>
        </is>
      </c>
      <c r="D31" s="8" t="inlineStr">
        <is>
          <t>Fila de criação/pendência LATAM</t>
        </is>
      </c>
      <c r="E31" s="6" t="inlineStr"/>
      <c r="F31" s="8" t="inlineStr"/>
      <c r="G31" s="7" t="inlineStr">
        <is>
          <t>Alta</t>
        </is>
      </c>
    </row>
    <row r="32">
      <c r="A32" s="4" t="n">
        <v>31</v>
      </c>
      <c r="B32" s="4" t="inlineStr">
        <is>
          <t>Pendências</t>
        </is>
      </c>
      <c r="C32" s="5" t="inlineStr">
        <is>
          <t>Pendências Smiles</t>
        </is>
      </c>
      <c r="D32" s="5" t="inlineStr">
        <is>
          <t>Fila de criação/pendência Smiles</t>
        </is>
      </c>
      <c r="E32" s="6" t="inlineStr"/>
      <c r="F32" s="5" t="inlineStr"/>
      <c r="G32" s="4" t="inlineStr">
        <is>
          <t>Alta</t>
        </is>
      </c>
    </row>
    <row r="33">
      <c r="A33" s="7" t="n">
        <v>32</v>
      </c>
      <c r="B33" s="7" t="inlineStr">
        <is>
          <t>Pendências</t>
        </is>
      </c>
      <c r="C33" s="8" t="inlineStr">
        <is>
          <t>Pendências Livelo</t>
        </is>
      </c>
      <c r="D33" s="8" t="inlineStr">
        <is>
          <t>Fila de criação/pendência Livelo</t>
        </is>
      </c>
      <c r="E33" s="6" t="inlineStr"/>
      <c r="F33" s="8" t="inlineStr"/>
      <c r="G33" s="7" t="inlineStr">
        <is>
          <t>Alta</t>
        </is>
      </c>
    </row>
    <row r="34">
      <c r="A34" s="4" t="n">
        <v>33</v>
      </c>
      <c r="B34" s="4" t="inlineStr">
        <is>
          <t>Pontos</t>
        </is>
      </c>
      <c r="C34" s="5" t="inlineStr">
        <is>
          <t>Visualizar pontos (multi-programa)</t>
        </is>
      </c>
      <c r="D34" s="5" t="inlineStr">
        <is>
          <t>Saldos Latam/Smiles/Livelo/Esfera</t>
        </is>
      </c>
      <c r="E34" s="6" t="inlineStr"/>
      <c r="F34" s="5" t="inlineStr"/>
      <c r="G34" s="4" t="inlineStr">
        <is>
          <t>Alta</t>
        </is>
      </c>
    </row>
    <row r="35">
      <c r="A35" s="7" t="n">
        <v>34</v>
      </c>
      <c r="B35" s="7" t="inlineStr">
        <is>
          <t>Clubes</t>
        </is>
      </c>
      <c r="C35" s="8" t="inlineStr">
        <is>
          <t>Cadastrar clube</t>
        </is>
      </c>
      <c r="D35" s="8" t="inlineStr">
        <is>
          <t>Assinatura de clube por programa</t>
        </is>
      </c>
      <c r="E35" s="6" t="inlineStr"/>
      <c r="F35" s="8" t="inlineStr"/>
      <c r="G35" s="7" t="inlineStr">
        <is>
          <t>Alta</t>
        </is>
      </c>
    </row>
    <row r="36">
      <c r="A36" s="4" t="n">
        <v>35</v>
      </c>
      <c r="B36" s="4" t="inlineStr">
        <is>
          <t>Clubes</t>
        </is>
      </c>
      <c r="C36" s="5" t="inlineStr">
        <is>
          <t>Lista de clubes</t>
        </is>
      </c>
      <c r="D36" s="5" t="inlineStr">
        <is>
          <t>Lista operacional ativos/pausados</t>
        </is>
      </c>
      <c r="E36" s="6" t="inlineStr"/>
      <c r="F36" s="5" t="inlineStr"/>
      <c r="G36" s="4" t="inlineStr">
        <is>
          <t>Alta</t>
        </is>
      </c>
    </row>
    <row r="37">
      <c r="A37" s="7" t="n">
        <v>36</v>
      </c>
      <c r="B37" s="7" t="inlineStr">
        <is>
          <t>Clubes</t>
        </is>
      </c>
      <c r="C37" s="8" t="inlineStr">
        <is>
          <t>Histórico de clubes</t>
        </is>
      </c>
      <c r="D37" s="8" t="inlineStr">
        <is>
          <t>Histórico mensal (assinaturas, bônus, totais)</t>
        </is>
      </c>
      <c r="E37" s="6" t="inlineStr"/>
      <c r="F37" s="8" t="inlineStr"/>
      <c r="G37" s="7" t="inlineStr">
        <is>
          <t>Média</t>
        </is>
      </c>
    </row>
    <row r="38">
      <c r="A38" s="4" t="n">
        <v>37</v>
      </c>
      <c r="B38" s="4" t="inlineStr">
        <is>
          <t>Clubes</t>
        </is>
      </c>
      <c r="C38" s="5" t="inlineStr">
        <is>
          <t>Cron de renovação</t>
        </is>
      </c>
      <c r="D38" s="5" t="inlineStr">
        <is>
          <t>Job diário de renovação com regras por programa</t>
        </is>
      </c>
      <c r="E38" s="6" t="inlineStr"/>
      <c r="F38" s="5" t="inlineStr"/>
      <c r="G38" s="4" t="inlineStr">
        <is>
          <t>Alta</t>
        </is>
      </c>
    </row>
    <row r="39">
      <c r="A39" s="7" t="n">
        <v>38</v>
      </c>
      <c r="B39" s="7" t="inlineStr">
        <is>
          <t>Compras</t>
        </is>
      </c>
      <c r="C39" s="8" t="inlineStr">
        <is>
          <t>Efetuar compra</t>
        </is>
      </c>
      <c r="D39" s="8" t="inlineStr">
        <is>
          <t>Lançamento de compra de pontos</t>
        </is>
      </c>
      <c r="E39" s="6" t="inlineStr"/>
      <c r="F39" s="8" t="inlineStr"/>
      <c r="G39" s="7" t="inlineStr">
        <is>
          <t>Alta</t>
        </is>
      </c>
    </row>
    <row r="40">
      <c r="A40" s="4" t="n">
        <v>39</v>
      </c>
      <c r="B40" s="4" t="inlineStr">
        <is>
          <t>Compras</t>
        </is>
      </c>
      <c r="C40" s="5" t="inlineStr">
        <is>
          <t>Visualizar/detalhar compra</t>
        </is>
      </c>
      <c r="D40" s="5" t="inlineStr">
        <is>
          <t>Listagem, edição de itens, cancelamento</t>
        </is>
      </c>
      <c r="E40" s="6" t="inlineStr"/>
      <c r="F40" s="5" t="inlineStr"/>
      <c r="G40" s="4" t="inlineStr">
        <is>
          <t>Alta</t>
        </is>
      </c>
    </row>
    <row r="41">
      <c r="A41" s="7" t="n">
        <v>40</v>
      </c>
      <c r="B41" s="7" t="inlineStr">
        <is>
          <t>Vendas</t>
        </is>
      </c>
      <c r="C41" s="8" t="inlineStr">
        <is>
          <t>Efetuar venda (wizard)</t>
        </is>
      </c>
      <c r="D41" s="8" t="inlineStr">
        <is>
          <t>Programa, pax, biometria, comissões, extensão LATAM, recibo</t>
        </is>
      </c>
      <c r="E41" s="6" t="inlineStr"/>
      <c r="F41" s="8" t="inlineStr"/>
      <c r="G41" s="7" t="inlineStr">
        <is>
          <t>Alta</t>
        </is>
      </c>
    </row>
    <row r="42">
      <c r="A42" s="4" t="n">
        <v>41</v>
      </c>
      <c r="B42" s="4" t="inlineStr">
        <is>
          <t>Vendas</t>
        </is>
      </c>
      <c r="C42" s="5" t="inlineStr">
        <is>
          <t>Painel de vendas</t>
        </is>
      </c>
      <c r="D42" s="5" t="inlineStr">
        <is>
          <t>Listagem, status, marcar pago, mensagem de cobrança, auditoria</t>
        </is>
      </c>
      <c r="E42" s="6" t="inlineStr"/>
      <c r="F42" s="5" t="inlineStr"/>
      <c r="G42" s="4" t="inlineStr">
        <is>
          <t>Alta</t>
        </is>
      </c>
    </row>
    <row r="43">
      <c r="A43" s="7" t="n">
        <v>42</v>
      </c>
      <c r="B43" s="7" t="inlineStr">
        <is>
          <t>Vendas</t>
        </is>
      </c>
      <c r="C43" s="8" t="inlineStr">
        <is>
          <t>Compras a finalizar</t>
        </is>
      </c>
      <c r="D43" s="8" t="inlineStr">
        <is>
          <t>Fila de compras vinculadas aguardando finalização</t>
        </is>
      </c>
      <c r="E43" s="6" t="inlineStr"/>
      <c r="F43" s="8" t="inlineStr"/>
      <c r="G43" s="7" t="inlineStr">
        <is>
          <t>Alta</t>
        </is>
      </c>
    </row>
    <row r="44">
      <c r="A44" s="4" t="n">
        <v>43</v>
      </c>
      <c r="B44" s="4" t="inlineStr">
        <is>
          <t>Vendas</t>
        </is>
      </c>
      <c r="C44" s="5" t="inlineStr">
        <is>
          <t>Compras finalizadas</t>
        </is>
      </c>
      <c r="D44" s="5" t="inlineStr">
        <is>
          <t>Histórico pós-finalização</t>
        </is>
      </c>
      <c r="E44" s="6" t="inlineStr"/>
      <c r="F44" s="5" t="inlineStr"/>
      <c r="G44" s="4" t="inlineStr">
        <is>
          <t>Alta</t>
        </is>
      </c>
    </row>
    <row r="45">
      <c r="A45" s="7" t="n">
        <v>44</v>
      </c>
      <c r="B45" s="7" t="inlineStr">
        <is>
          <t>Vendas</t>
        </is>
      </c>
      <c r="C45" s="8" t="inlineStr">
        <is>
          <t>Recibo/PDF LATAM</t>
        </is>
      </c>
      <c r="D45" s="8" t="inlineStr">
        <is>
          <t>Parse/import de comprovante PDF na venda</t>
        </is>
      </c>
      <c r="E45" s="6" t="inlineStr"/>
      <c r="F45" s="8" t="inlineStr"/>
      <c r="G45" s="7" t="inlineStr">
        <is>
          <t>Alta</t>
        </is>
      </c>
    </row>
    <row r="46">
      <c r="A46" s="4" t="n">
        <v>45</v>
      </c>
      <c r="B46" s="4" t="inlineStr">
        <is>
          <t>Vendas</t>
        </is>
      </c>
      <c r="C46" s="5" t="inlineStr">
        <is>
          <t>Sugestões de venda</t>
        </is>
      </c>
      <c r="D46" s="5" t="inlineStr">
        <is>
          <t>API de sugestões para montagem da venda</t>
        </is>
      </c>
      <c r="E46" s="6" t="inlineStr"/>
      <c r="F46" s="5" t="inlineStr"/>
      <c r="G46" s="4" t="inlineStr">
        <is>
          <t>Média</t>
        </is>
      </c>
    </row>
    <row r="47">
      <c r="A47" s="7" t="n">
        <v>46</v>
      </c>
      <c r="B47" s="7" t="inlineStr">
        <is>
          <t>Vendas</t>
        </is>
      </c>
      <c r="C47" s="8" t="inlineStr">
        <is>
          <t>Leitura de documentos (OCR/Vision)</t>
        </is>
      </c>
      <c r="D47" s="8" t="inlineStr">
        <is>
          <t>Extrai nome/CPF/nasc/sexo de RG/CNH/CIN na venda</t>
        </is>
      </c>
      <c r="E47" s="6" t="inlineStr"/>
      <c r="F47" s="8" t="inlineStr"/>
      <c r="G47" s="7" t="inlineStr">
        <is>
          <t>Alta</t>
        </is>
      </c>
    </row>
    <row r="48">
      <c r="A48" s="4" t="n">
        <v>47</v>
      </c>
      <c r="B48" s="4" t="inlineStr">
        <is>
          <t>Vendas</t>
        </is>
      </c>
      <c r="C48" s="5" t="inlineStr">
        <is>
          <t>Wizard de biometria</t>
        </is>
      </c>
      <c r="D48" s="5" t="inlineStr">
        <is>
          <t>Fluxo de biometria/OTP dentro da emissão</t>
        </is>
      </c>
      <c r="E48" s="6" t="inlineStr"/>
      <c r="F48" s="5" t="inlineStr"/>
      <c r="G48" s="4" t="inlineStr">
        <is>
          <t>Alta</t>
        </is>
      </c>
    </row>
    <row r="49">
      <c r="A49" s="7" t="n">
        <v>48</v>
      </c>
      <c r="B49" s="7" t="inlineStr">
        <is>
          <t>Check Localizador</t>
        </is>
      </c>
      <c r="C49" s="8" t="inlineStr">
        <is>
          <t>Check Latam</t>
        </is>
      </c>
      <c r="D49" s="8" t="inlineStr">
        <is>
          <t>Conferência de localizadores (confirmado/cancelado/alterado)</t>
        </is>
      </c>
      <c r="E49" s="6" t="inlineStr"/>
      <c r="F49" s="8" t="inlineStr"/>
      <c r="G49" s="7" t="inlineStr">
        <is>
          <t>Alta</t>
        </is>
      </c>
    </row>
    <row r="50">
      <c r="A50" s="4" t="n">
        <v>49</v>
      </c>
      <c r="B50" s="4" t="inlineStr">
        <is>
          <t>Check Localizador</t>
        </is>
      </c>
      <c r="C50" s="5" t="inlineStr">
        <is>
          <t>Check Smiles</t>
        </is>
      </c>
      <c r="D50" s="5" t="inlineStr">
        <is>
          <t>Conferência manual (confirmado/derrubado/prejuízo)</t>
        </is>
      </c>
      <c r="E50" s="6" t="inlineStr"/>
      <c r="F50" s="5" t="inlineStr"/>
      <c r="G50" s="4" t="inlineStr">
        <is>
          <t>Alta</t>
        </is>
      </c>
    </row>
    <row r="51">
      <c r="A51" s="7" t="n">
        <v>50</v>
      </c>
      <c r="B51" s="7" t="inlineStr">
        <is>
          <t>Check Localizador</t>
        </is>
      </c>
      <c r="C51" s="8" t="inlineStr">
        <is>
          <t>E-mail confirmação Smiles</t>
        </is>
      </c>
      <c r="D51" s="8" t="inlineStr">
        <is>
          <t>Mensagem de confirmação de voo + controle de envio</t>
        </is>
      </c>
      <c r="E51" s="6" t="inlineStr"/>
      <c r="F51" s="8" t="inlineStr"/>
      <c r="G51" s="7" t="inlineStr">
        <is>
          <t>Média</t>
        </is>
      </c>
    </row>
    <row r="52">
      <c r="A52" s="4" t="n">
        <v>51</v>
      </c>
      <c r="B52" s="4" t="inlineStr">
        <is>
          <t>Lucros e comissões</t>
        </is>
      </c>
      <c r="C52" s="5" t="inlineStr">
        <is>
          <t>Painel de lucros</t>
        </is>
      </c>
      <c r="D52" s="5" t="inlineStr">
        <is>
          <t>Visão de lucros (incl. por funcionários/mês)</t>
        </is>
      </c>
      <c r="E52" s="6" t="inlineStr"/>
      <c r="F52" s="5" t="inlineStr"/>
      <c r="G52" s="4" t="inlineStr">
        <is>
          <t>Alta</t>
        </is>
      </c>
    </row>
    <row r="53">
      <c r="A53" s="7" t="n">
        <v>52</v>
      </c>
      <c r="B53" s="7" t="inlineStr">
        <is>
          <t>Lucros e comissões</t>
        </is>
      </c>
      <c r="C53" s="8" t="inlineStr">
        <is>
          <t>Comissões cedentes</t>
        </is>
      </c>
      <c r="D53" s="8" t="inlineStr">
        <is>
          <t>Listagem/pagamento/cancelamento</t>
        </is>
      </c>
      <c r="E53" s="6" t="inlineStr"/>
      <c r="F53" s="8" t="inlineStr"/>
      <c r="G53" s="7" t="inlineStr">
        <is>
          <t>Alta</t>
        </is>
      </c>
    </row>
    <row r="54">
      <c r="A54" s="4" t="n">
        <v>53</v>
      </c>
      <c r="B54" s="4" t="inlineStr">
        <is>
          <t>Lucros e comissões</t>
        </is>
      </c>
      <c r="C54" s="5" t="inlineStr">
        <is>
          <t>Comissões afiliados</t>
        </is>
      </c>
      <c r="D54" s="5" t="inlineStr">
        <is>
          <t>Gestão de comissões de afiliados</t>
        </is>
      </c>
      <c r="E54" s="6" t="inlineStr"/>
      <c r="F54" s="5" t="inlineStr"/>
      <c r="G54" s="4" t="inlineStr">
        <is>
          <t>Alta</t>
        </is>
      </c>
    </row>
    <row r="55">
      <c r="A55" s="7" t="n">
        <v>54</v>
      </c>
      <c r="B55" s="7" t="inlineStr">
        <is>
          <t>Lucros e comissões</t>
        </is>
      </c>
      <c r="C55" s="8" t="inlineStr">
        <is>
          <t>Comissões funcionários</t>
        </is>
      </c>
      <c r="D55" s="8" t="inlineStr">
        <is>
          <t>Cálculo/exibição de comissões de staff</t>
        </is>
      </c>
      <c r="E55" s="6" t="inlineStr"/>
      <c r="F55" s="8" t="inlineStr"/>
      <c r="G55" s="7" t="inlineStr">
        <is>
          <t>Alta</t>
        </is>
      </c>
    </row>
    <row r="56">
      <c r="A56" s="4" t="n">
        <v>55</v>
      </c>
      <c r="B56" s="4" t="inlineStr">
        <is>
          <t>Lucros e comissões</t>
        </is>
      </c>
      <c r="C56" s="5" t="inlineStr">
        <is>
          <t>Payouts funcionários</t>
        </is>
      </c>
      <c r="D56" s="5" t="inlineStr">
        <is>
          <t>Cálculo diário/mensal, histórico, PDF</t>
        </is>
      </c>
      <c r="E56" s="6" t="inlineStr"/>
      <c r="F56" s="5" t="inlineStr"/>
      <c r="G56" s="4" t="inlineStr">
        <is>
          <t>Alta</t>
        </is>
      </c>
    </row>
    <row r="57">
      <c r="A57" s="7" t="n">
        <v>56</v>
      </c>
      <c r="B57" s="7" t="inlineStr">
        <is>
          <t>Lucros e comissões</t>
        </is>
      </c>
      <c r="C57" s="8" t="inlineStr">
        <is>
          <t>Bônus mensal</t>
        </is>
      </c>
      <c r="D57" s="8" t="inlineStr">
        <is>
          <t>Metas, pool e distribuição entre elegíveis</t>
        </is>
      </c>
      <c r="E57" s="6" t="inlineStr"/>
      <c r="F57" s="8" t="inlineStr"/>
      <c r="G57" s="7" t="inlineStr">
        <is>
          <t>Alta</t>
        </is>
      </c>
    </row>
    <row r="58">
      <c r="A58" s="4" t="n">
        <v>57</v>
      </c>
      <c r="B58" s="4" t="inlineStr">
        <is>
          <t>Análise e estratégia</t>
        </is>
      </c>
      <c r="C58" s="5" t="inlineStr">
        <is>
          <t>Análise de dados</t>
        </is>
      </c>
      <c r="D58" s="5" t="inlineStr">
        <is>
          <t>Dashboards + export (empresa / vendas diárias)</t>
        </is>
      </c>
      <c r="E58" s="6" t="inlineStr"/>
      <c r="F58" s="5" t="inlineStr"/>
      <c r="G58" s="4" t="inlineStr">
        <is>
          <t>Alta</t>
        </is>
      </c>
    </row>
    <row r="59">
      <c r="A59" s="7" t="n">
        <v>58</v>
      </c>
      <c r="B59" s="7" t="inlineStr">
        <is>
          <t>Análise e estratégia</t>
        </is>
      </c>
      <c r="C59" s="8" t="inlineStr">
        <is>
          <t>Estratégia de compra</t>
        </is>
      </c>
      <c r="D59" s="8" t="inlineStr">
        <is>
          <t>Busca de contas (disponibilidade, clube, aniversário, turbo, score)</t>
        </is>
      </c>
      <c r="E59" s="6" t="inlineStr"/>
      <c r="F59" s="8" t="inlineStr"/>
      <c r="G59" s="7" t="inlineStr">
        <is>
          <t>Alta</t>
        </is>
      </c>
    </row>
    <row r="60">
      <c r="A60" s="4" t="n">
        <v>59</v>
      </c>
      <c r="B60" s="4" t="inlineStr">
        <is>
          <t>Contas selecionadas</t>
        </is>
      </c>
      <c r="C60" s="5" t="inlineStr">
        <is>
          <t>Lista promo Latam</t>
        </is>
      </c>
      <c r="D60" s="5" t="inlineStr">
        <is>
          <t>Listas promocionais (apto/aguardando/negado/usado)</t>
        </is>
      </c>
      <c r="E60" s="6" t="inlineStr"/>
      <c r="F60" s="5" t="inlineStr"/>
      <c r="G60" s="4" t="inlineStr">
        <is>
          <t>Alta</t>
        </is>
      </c>
    </row>
    <row r="61">
      <c r="A61" s="7" t="n">
        <v>60</v>
      </c>
      <c r="B61" s="7" t="inlineStr">
        <is>
          <t>Contas selecionadas</t>
        </is>
      </c>
      <c r="C61" s="8" t="inlineStr">
        <is>
          <t>Turbo Latam</t>
        </is>
      </c>
      <c r="D61" s="8" t="inlineStr">
        <is>
          <t>Controle mensal de transferências turbo</t>
        </is>
      </c>
      <c r="E61" s="6" t="inlineStr"/>
      <c r="F61" s="8" t="inlineStr"/>
      <c r="G61" s="7" t="inlineStr">
        <is>
          <t>Alta</t>
        </is>
      </c>
    </row>
    <row r="62">
      <c r="A62" s="4" t="n">
        <v>61</v>
      </c>
      <c r="B62" s="4" t="inlineStr">
        <is>
          <t>Contas selecionadas</t>
        </is>
      </c>
      <c r="C62" s="5" t="inlineStr">
        <is>
          <t>Renovação Clube Smiles</t>
        </is>
      </c>
      <c r="D62" s="5" t="inlineStr">
        <is>
          <t>Seleção de contas Smiles para renovação</t>
        </is>
      </c>
      <c r="E62" s="6" t="inlineStr"/>
      <c r="F62" s="5" t="inlineStr"/>
      <c r="G62" s="4" t="inlineStr">
        <is>
          <t>Alta</t>
        </is>
      </c>
    </row>
    <row r="63">
      <c r="A63" s="7" t="n">
        <v>62</v>
      </c>
      <c r="B63" s="7" t="inlineStr">
        <is>
          <t>Contas selecionadas</t>
        </is>
      </c>
      <c r="C63" s="8" t="inlineStr">
        <is>
          <t>Aniversário Livelo</t>
        </is>
      </c>
      <c r="D63" s="8" t="inlineStr">
        <is>
          <t>Lista de aniversariantes Livelo</t>
        </is>
      </c>
      <c r="E63" s="6" t="inlineStr"/>
      <c r="F63" s="8" t="inlineStr"/>
      <c r="G63" s="7" t="inlineStr">
        <is>
          <t>Média</t>
        </is>
      </c>
    </row>
    <row r="64">
      <c r="A64" s="4" t="n">
        <v>63</v>
      </c>
      <c r="B64" s="4" t="inlineStr">
        <is>
          <t>Contas selecionadas</t>
        </is>
      </c>
      <c r="C64" s="5" t="inlineStr">
        <is>
          <t>Bônus clube Livelo</t>
        </is>
      </c>
      <c r="D64" s="5" t="inlineStr">
        <is>
          <t>Contas elegíveis a bônus de clube</t>
        </is>
      </c>
      <c r="E64" s="6" t="inlineStr"/>
      <c r="F64" s="5" t="inlineStr"/>
      <c r="G64" s="4" t="inlineStr">
        <is>
          <t>Média</t>
        </is>
      </c>
    </row>
    <row r="65">
      <c r="A65" s="7" t="n">
        <v>64</v>
      </c>
      <c r="B65" s="7" t="inlineStr">
        <is>
          <t>Financeiro</t>
        </is>
      </c>
      <c r="C65" s="8" t="inlineStr">
        <is>
          <t>Resumo</t>
        </is>
      </c>
      <c r="D65" s="8" t="inlineStr">
        <is>
          <t>Snapshot de caixa, pontos, cartões, dívidas e líquido</t>
        </is>
      </c>
      <c r="E65" s="6" t="inlineStr"/>
      <c r="F65" s="8" t="inlineStr"/>
      <c r="G65" s="7" t="inlineStr">
        <is>
          <t>Alta</t>
        </is>
      </c>
    </row>
    <row r="66">
      <c r="A66" s="4" t="n">
        <v>65</v>
      </c>
      <c r="B66" s="4" t="inlineStr">
        <is>
          <t>Financeiro</t>
        </is>
      </c>
      <c r="C66" s="5" t="inlineStr">
        <is>
          <t>Caixa imediato</t>
        </is>
      </c>
      <c r="D66" s="5" t="inlineStr">
        <is>
          <t>Dinheiro imediato descontando bloqueios/comissões/impostos</t>
        </is>
      </c>
      <c r="E66" s="6" t="inlineStr"/>
      <c r="F66" s="5" t="inlineStr"/>
      <c r="G66" s="4" t="inlineStr">
        <is>
          <t>Alta</t>
        </is>
      </c>
    </row>
    <row r="67">
      <c r="A67" s="7" t="n">
        <v>66</v>
      </c>
      <c r="B67" s="7" t="inlineStr">
        <is>
          <t>Financeiro</t>
        </is>
      </c>
      <c r="C67" s="8" t="inlineStr">
        <is>
          <t>Prejuízo</t>
        </is>
      </c>
      <c r="D67" s="8" t="inlineStr">
        <is>
          <t>Consolidação de prejuízo em compras finalizadas</t>
        </is>
      </c>
      <c r="E67" s="6" t="inlineStr"/>
      <c r="F67" s="8" t="inlineStr"/>
      <c r="G67" s="7" t="inlineStr">
        <is>
          <t>Média</t>
        </is>
      </c>
    </row>
    <row r="68">
      <c r="A68" s="4" t="n">
        <v>67</v>
      </c>
      <c r="B68" s="4" t="inlineStr">
        <is>
          <t>Financeiro</t>
        </is>
      </c>
      <c r="C68" s="5" t="inlineStr">
        <is>
          <t>Dívidas</t>
        </is>
      </c>
      <c r="D68" s="5" t="inlineStr">
        <is>
          <t>Cadastro/pagamento de dívidas a credores</t>
        </is>
      </c>
      <c r="E68" s="6" t="inlineStr"/>
      <c r="F68" s="5" t="inlineStr"/>
      <c r="G68" s="4" t="inlineStr">
        <is>
          <t>Alta</t>
        </is>
      </c>
    </row>
    <row r="69">
      <c r="A69" s="7" t="n">
        <v>68</v>
      </c>
      <c r="B69" s="7" t="inlineStr">
        <is>
          <t>Financeiro</t>
        </is>
      </c>
      <c r="C69" s="8" t="inlineStr">
        <is>
          <t>Dívidas a receber</t>
        </is>
      </c>
      <c r="D69" s="8" t="inlineStr">
        <is>
          <t>Contas a receber com parcelas/pagamentos</t>
        </is>
      </c>
      <c r="E69" s="6" t="inlineStr"/>
      <c r="F69" s="8" t="inlineStr"/>
      <c r="G69" s="7" t="inlineStr">
        <is>
          <t>Alta</t>
        </is>
      </c>
    </row>
    <row r="70">
      <c r="A70" s="4" t="n">
        <v>69</v>
      </c>
      <c r="B70" s="4" t="inlineStr">
        <is>
          <t>Financeiro</t>
        </is>
      </c>
      <c r="C70" s="5" t="inlineStr">
        <is>
          <t>Recebimentos</t>
        </is>
      </c>
      <c r="D70" s="5" t="inlineStr">
        <is>
          <t>Gestão de recebíveis/receitas</t>
        </is>
      </c>
      <c r="E70" s="6" t="inlineStr"/>
      <c r="F70" s="5" t="inlineStr"/>
      <c r="G70" s="4" t="inlineStr">
        <is>
          <t>Média</t>
        </is>
      </c>
    </row>
    <row r="71">
      <c r="A71" s="7" t="n">
        <v>70</v>
      </c>
      <c r="B71" s="7" t="inlineStr">
        <is>
          <t>Contabilidade</t>
        </is>
      </c>
      <c r="C71" s="8" t="inlineStr">
        <is>
          <t>Dados contábeis — vendas</t>
        </is>
      </c>
      <c r="D71" s="8" t="inlineStr">
        <is>
          <t>Preview/export contábil de vendas</t>
        </is>
      </c>
      <c r="E71" s="6" t="inlineStr"/>
      <c r="F71" s="8" t="inlineStr"/>
      <c r="G71" s="7" t="inlineStr">
        <is>
          <t>Alta</t>
        </is>
      </c>
    </row>
    <row r="72">
      <c r="A72" s="4" t="n">
        <v>71</v>
      </c>
      <c r="B72" s="4" t="inlineStr">
        <is>
          <t>Contabilidade</t>
        </is>
      </c>
      <c r="C72" s="5" t="inlineStr">
        <is>
          <t>Impostos</t>
        </is>
      </c>
      <c r="D72" s="5" t="inlineStr">
        <is>
          <t>% de imposto, meses e quitação mensal</t>
        </is>
      </c>
      <c r="E72" s="6" t="inlineStr"/>
      <c r="F72" s="5" t="inlineStr"/>
      <c r="G72" s="4" t="inlineStr">
        <is>
          <t>Alta</t>
        </is>
      </c>
    </row>
    <row r="73">
      <c r="A73" s="7" t="n">
        <v>72</v>
      </c>
      <c r="B73" s="7" t="inlineStr">
        <is>
          <t>Wallet</t>
        </is>
      </c>
      <c r="C73" s="8" t="inlineStr">
        <is>
          <t>Wallet LATAM</t>
        </is>
      </c>
      <c r="D73" s="8" t="inlineStr">
        <is>
          <t>Saldo/valor por cedente na wallet LATAM</t>
        </is>
      </c>
      <c r="E73" s="6" t="inlineStr"/>
      <c r="F73" s="8" t="inlineStr"/>
      <c r="G73" s="7" t="inlineStr">
        <is>
          <t>Média</t>
        </is>
      </c>
    </row>
    <row r="74">
      <c r="A74" s="4" t="n">
        <v>73</v>
      </c>
      <c r="B74" s="4" t="inlineStr">
        <is>
          <t>Indicações</t>
        </is>
      </c>
      <c r="C74" s="5" t="inlineStr">
        <is>
          <t>Código cedente</t>
        </is>
      </c>
      <c r="D74" s="5" t="inlineStr">
        <is>
          <t>Gestão de códigos de indicação entre cedentes</t>
        </is>
      </c>
      <c r="E74" s="6" t="inlineStr"/>
      <c r="F74" s="5" t="inlineStr"/>
      <c r="G74" s="4" t="inlineStr">
        <is>
          <t>Alta</t>
        </is>
      </c>
    </row>
    <row r="75">
      <c r="A75" s="7" t="n">
        <v>74</v>
      </c>
      <c r="B75" s="7" t="inlineStr">
        <is>
          <t>Indicações</t>
        </is>
      </c>
      <c r="C75" s="8" t="inlineStr">
        <is>
          <t>Histórico de indicações</t>
        </is>
      </c>
      <c r="D75" s="8" t="inlineStr">
        <is>
          <t>Histórico e bônus associados</t>
        </is>
      </c>
      <c r="E75" s="6" t="inlineStr"/>
      <c r="F75" s="8" t="inlineStr"/>
      <c r="G75" s="7" t="inlineStr">
        <is>
          <t>Média</t>
        </is>
      </c>
    </row>
    <row r="76">
      <c r="A76" s="4" t="n">
        <v>75</v>
      </c>
      <c r="B76" s="4" t="inlineStr">
        <is>
          <t>Emissões</t>
        </is>
      </c>
      <c r="C76" s="5" t="inlineStr">
        <is>
          <t>Emissões por cedente</t>
        </is>
      </c>
      <c r="D76" s="5" t="inlineStr">
        <is>
          <t>Últimas emissões + filtros Latam/Smiles</t>
        </is>
      </c>
      <c r="E76" s="6" t="inlineStr"/>
      <c r="F76" s="5" t="inlineStr"/>
      <c r="G76" s="4" t="inlineStr">
        <is>
          <t>Alta</t>
        </is>
      </c>
    </row>
    <row r="77">
      <c r="A77" s="7" t="n">
        <v>76</v>
      </c>
      <c r="B77" s="7" t="inlineStr">
        <is>
          <t>Emissões</t>
        </is>
      </c>
      <c r="C77" s="8" t="inlineStr">
        <is>
          <t>Painel emissões Latam</t>
        </is>
      </c>
      <c r="D77" s="8" t="inlineStr">
        <is>
          <t>Painel operacional consolidado</t>
        </is>
      </c>
      <c r="E77" s="6" t="inlineStr"/>
      <c r="F77" s="8" t="inlineStr"/>
      <c r="G77" s="7" t="inlineStr">
        <is>
          <t>Alta</t>
        </is>
      </c>
    </row>
    <row r="78">
      <c r="A78" s="4" t="n">
        <v>77</v>
      </c>
      <c r="B78" s="4" t="inlineStr">
        <is>
          <t>Emissões</t>
        </is>
      </c>
      <c r="C78" s="5" t="inlineStr">
        <is>
          <t>Import Excel Latam</t>
        </is>
      </c>
      <c r="D78" s="5" t="inlineStr">
        <is>
          <t>Importação de emissões via Excel</t>
        </is>
      </c>
      <c r="E78" s="6" t="inlineStr"/>
      <c r="F78" s="5" t="inlineStr"/>
      <c r="G78" s="4" t="inlineStr">
        <is>
          <t>Alta</t>
        </is>
      </c>
    </row>
    <row r="79">
      <c r="A79" s="7" t="n">
        <v>78</v>
      </c>
      <c r="B79" s="7" t="inlineStr">
        <is>
          <t>Emissões</t>
        </is>
      </c>
      <c r="C79" s="8" t="inlineStr">
        <is>
          <t>Parse PDF Latam</t>
        </is>
      </c>
      <c r="D79" s="8" t="inlineStr">
        <is>
          <t>Extração de dados de PDF de emissão</t>
        </is>
      </c>
      <c r="E79" s="6" t="inlineStr"/>
      <c r="F79" s="8" t="inlineStr"/>
      <c r="G79" s="7" t="inlineStr">
        <is>
          <t>Alta</t>
        </is>
      </c>
    </row>
    <row r="80">
      <c r="A80" s="4" t="n">
        <v>79</v>
      </c>
      <c r="B80" s="4" t="inlineStr">
        <is>
          <t>Balcão</t>
        </is>
      </c>
      <c r="C80" s="5" t="inlineStr">
        <is>
          <t>Compra e venda balcão</t>
        </is>
      </c>
      <c r="D80" s="5" t="inlineStr">
        <is>
          <t>Operações multi-cia (LATAM, Smiles, Azul, TAP…) com comissão</t>
        </is>
      </c>
      <c r="E80" s="6" t="inlineStr"/>
      <c r="F80" s="5" t="inlineStr"/>
      <c r="G80" s="4" t="inlineStr">
        <is>
          <t>Alta</t>
        </is>
      </c>
    </row>
    <row r="81">
      <c r="A81" s="7" t="n">
        <v>80</v>
      </c>
      <c r="B81" s="7" t="inlineStr">
        <is>
          <t>Protocolos</t>
        </is>
      </c>
      <c r="C81" s="8" t="inlineStr">
        <is>
          <t>Protocolos por programa</t>
        </is>
      </c>
      <c r="D81" s="8" t="inlineStr">
        <is>
          <t>Registro Latam/Smiles/Livelo/Esfera por cedente</t>
        </is>
      </c>
      <c r="E81" s="6" t="inlineStr"/>
      <c r="F81" s="8" t="inlineStr"/>
      <c r="G81" s="7" t="inlineStr">
        <is>
          <t>Média</t>
        </is>
      </c>
    </row>
    <row r="82">
      <c r="A82" s="4" t="n">
        <v>81</v>
      </c>
      <c r="B82" s="4" t="inlineStr">
        <is>
          <t>Termos / Biometria</t>
        </is>
      </c>
      <c r="C82" s="5" t="inlineStr">
        <is>
          <t>Atualização dos termos</t>
        </is>
      </c>
      <c r="D82" s="5" t="inlineStr">
        <is>
          <t>Aceite/disponibilidade de biometria e turnos</t>
        </is>
      </c>
      <c r="E82" s="6" t="inlineStr"/>
      <c r="F82" s="5" t="inlineStr"/>
      <c r="G82" s="4" t="inlineStr">
        <is>
          <t>Alta</t>
        </is>
      </c>
    </row>
    <row r="83">
      <c r="A83" s="7" t="n">
        <v>82</v>
      </c>
      <c r="B83" s="7" t="inlineStr">
        <is>
          <t>Termos / Biometria</t>
        </is>
      </c>
      <c r="C83" s="8" t="inlineStr">
        <is>
          <t>Horário biometria</t>
        </is>
      </c>
      <c r="D83" s="8" t="inlineStr">
        <is>
          <t>Grade manhã/tarde/noite para biometria</t>
        </is>
      </c>
      <c r="E83" s="6" t="inlineStr"/>
      <c r="F83" s="8" t="inlineStr"/>
      <c r="G83" s="7" t="inlineStr">
        <is>
          <t>Alta</t>
        </is>
      </c>
    </row>
    <row r="84">
      <c r="A84" s="4" t="n">
        <v>83</v>
      </c>
      <c r="B84" s="4" t="inlineStr">
        <is>
          <t>E-mails (Gmail)</t>
        </is>
      </c>
      <c r="C84" s="5" t="inlineStr">
        <is>
          <t>Inbox Gmail OAuth</t>
        </is>
      </c>
      <c r="D84" s="5" t="inlineStr">
        <is>
          <t>Conexão OAuth, listagem e leitura de e-mails</t>
        </is>
      </c>
      <c r="E84" s="6" t="inlineStr"/>
      <c r="F84" s="5" t="inlineStr"/>
      <c r="G84" s="4" t="inlineStr">
        <is>
          <t>Alta</t>
        </is>
      </c>
    </row>
    <row r="85">
      <c r="A85" s="7" t="n">
        <v>84</v>
      </c>
      <c r="B85" s="7" t="inlineStr">
        <is>
          <t>E-mails (Gmail)</t>
        </is>
      </c>
      <c r="C85" s="8" t="inlineStr">
        <is>
          <t>Filtros por programa</t>
        </is>
      </c>
      <c r="D85" s="8" t="inlineStr">
        <is>
          <t>Filtros Latam/Smiles/Livelo + match de cedente</t>
        </is>
      </c>
      <c r="E85" s="6" t="inlineStr"/>
      <c r="F85" s="8" t="inlineStr"/>
      <c r="G85" s="7" t="inlineStr">
        <is>
          <t>Alta</t>
        </is>
      </c>
    </row>
    <row r="86">
      <c r="A86" s="4" t="n">
        <v>85</v>
      </c>
      <c r="B86" s="4" t="inlineStr">
        <is>
          <t>E-mails (Gmail)</t>
        </is>
      </c>
      <c r="C86" s="5" t="inlineStr">
        <is>
          <t>Alertas de e-mail</t>
        </is>
      </c>
      <c r="D86" s="5" t="inlineStr">
        <is>
          <t>Preferências/dismissals de alertas</t>
        </is>
      </c>
      <c r="E86" s="6" t="inlineStr"/>
      <c r="F86" s="5" t="inlineStr"/>
      <c r="G86" s="4" t="inlineStr">
        <is>
          <t>Alta</t>
        </is>
      </c>
    </row>
    <row r="87">
      <c r="A87" s="7" t="n">
        <v>86</v>
      </c>
      <c r="B87" s="7" t="inlineStr">
        <is>
          <t>E-mails (Gmail)</t>
        </is>
      </c>
      <c r="C87" s="8" t="inlineStr">
        <is>
          <t>Código de verificação (OTP)</t>
        </is>
      </c>
      <c r="D87" s="8" t="inlineStr">
        <is>
          <t>Extração de OTP do e-mail para biometria/login</t>
        </is>
      </c>
      <c r="E87" s="6" t="inlineStr"/>
      <c r="F87" s="8" t="inlineStr"/>
      <c r="G87" s="7" t="inlineStr">
        <is>
          <t>Alta</t>
        </is>
      </c>
    </row>
    <row r="88">
      <c r="A88" s="4" t="n">
        <v>87</v>
      </c>
      <c r="B88" s="4" t="inlineStr">
        <is>
          <t>Grupo VIP WhatsApp</t>
        </is>
      </c>
      <c r="C88" s="5" t="inlineStr">
        <is>
          <t>Cadastros (links)</t>
        </is>
      </c>
      <c r="D88" s="5" t="inlineStr">
        <is>
          <t>Links públicos de cadastro VIP por funcionário</t>
        </is>
      </c>
      <c r="E88" s="6" t="inlineStr"/>
      <c r="F88" s="5" t="inlineStr"/>
      <c r="G88" s="4" t="inlineStr">
        <is>
          <t>Alta</t>
        </is>
      </c>
    </row>
    <row r="89">
      <c r="A89" s="7" t="n">
        <v>88</v>
      </c>
      <c r="B89" s="7" t="inlineStr">
        <is>
          <t>Grupo VIP WhatsApp</t>
        </is>
      </c>
      <c r="C89" s="8" t="inlineStr">
        <is>
          <t>Clientes/leads VIP</t>
        </is>
      </c>
      <c r="D89" s="8" t="inlineStr">
        <is>
          <t>Gestão de leads, status e pagamentos</t>
        </is>
      </c>
      <c r="E89" s="6" t="inlineStr"/>
      <c r="F89" s="8" t="inlineStr"/>
      <c r="G89" s="7" t="inlineStr">
        <is>
          <t>Alta</t>
        </is>
      </c>
    </row>
    <row r="90">
      <c r="A90" s="4" t="n">
        <v>89</v>
      </c>
      <c r="B90" s="4" t="inlineStr">
        <is>
          <t>Grupo VIP WhatsApp</t>
        </is>
      </c>
      <c r="C90" s="5" t="inlineStr">
        <is>
          <t>Rateio lucro VIP</t>
        </is>
      </c>
      <c r="D90" s="5" t="inlineStr">
        <is>
          <t>Configuração e rateio do produto VIP</t>
        </is>
      </c>
      <c r="E90" s="6" t="inlineStr"/>
      <c r="F90" s="5" t="inlineStr"/>
      <c r="G90" s="4" t="inlineStr">
        <is>
          <t>Alta</t>
        </is>
      </c>
    </row>
    <row r="91">
      <c r="A91" s="7" t="n">
        <v>90</v>
      </c>
      <c r="B91" s="7" t="inlineStr">
        <is>
          <t>Grupo VIP WhatsApp</t>
        </is>
      </c>
      <c r="C91" s="8" t="inlineStr">
        <is>
          <t>Cadastro público VIP</t>
        </is>
      </c>
      <c r="D91" s="8" t="inlineStr">
        <is>
          <t>Landing /grupo-vip/[code] com PIX e WhatsApp</t>
        </is>
      </c>
      <c r="E91" s="6" t="inlineStr"/>
      <c r="F91" s="8" t="inlineStr"/>
      <c r="G91" s="7" t="inlineStr">
        <is>
          <t>Alta</t>
        </is>
      </c>
    </row>
    <row r="92">
      <c r="A92" s="4" t="n">
        <v>91</v>
      </c>
      <c r="B92" s="4" t="inlineStr">
        <is>
          <t>Portal afiliados</t>
        </is>
      </c>
      <c r="C92" s="5" t="inlineStr">
        <is>
          <t>Cadastro público afiliado</t>
        </is>
      </c>
      <c r="D92" s="5" t="inlineStr">
        <is>
          <t>Signup em /afiliado/cadastro</t>
        </is>
      </c>
      <c r="E92" s="6" t="inlineStr"/>
      <c r="F92" s="5" t="inlineStr"/>
      <c r="G92" s="4" t="inlineStr">
        <is>
          <t>Alta</t>
        </is>
      </c>
    </row>
    <row r="93">
      <c r="A93" s="7" t="n">
        <v>92</v>
      </c>
      <c r="B93" s="7" t="inlineStr">
        <is>
          <t>Portal afiliados</t>
        </is>
      </c>
      <c r="C93" s="8" t="inlineStr">
        <is>
          <t>Login afiliado</t>
        </is>
      </c>
      <c r="D93" s="8" t="inlineStr">
        <is>
          <t>Auth própria (separada do staff)</t>
        </is>
      </c>
      <c r="E93" s="6" t="inlineStr"/>
      <c r="F93" s="8" t="inlineStr"/>
      <c r="G93" s="7" t="inlineStr">
        <is>
          <t>Alta</t>
        </is>
      </c>
    </row>
    <row r="94">
      <c r="A94" s="4" t="n">
        <v>93</v>
      </c>
      <c r="B94" s="4" t="inlineStr">
        <is>
          <t>Portal afiliados</t>
        </is>
      </c>
      <c r="C94" s="5" t="inlineStr">
        <is>
          <t>Dashboard afiliado</t>
        </is>
      </c>
      <c r="D94" s="5" t="inlineStr">
        <is>
          <t>Métricas, vendas, comissões, QR e links</t>
        </is>
      </c>
      <c r="E94" s="6" t="inlineStr"/>
      <c r="F94" s="5" t="inlineStr"/>
      <c r="G94" s="4" t="inlineStr">
        <is>
          <t>Alta</t>
        </is>
      </c>
    </row>
    <row r="95">
      <c r="A95" s="7" t="n">
        <v>94</v>
      </c>
      <c r="B95" s="7" t="inlineStr">
        <is>
          <t>Convite cedente</t>
        </is>
      </c>
      <c r="C95" s="8" t="inlineStr">
        <is>
          <t>Formulário público de convite</t>
        </is>
      </c>
      <c r="D95" s="8" t="inlineStr">
        <is>
          <t>Self-service /convite/[code] (CPF, PIX, senhas, pontos)</t>
        </is>
      </c>
      <c r="E95" s="6" t="inlineStr"/>
      <c r="F95" s="8" t="inlineStr"/>
      <c r="G95" s="7" t="inlineStr">
        <is>
          <t>Alta</t>
        </is>
      </c>
    </row>
    <row r="96">
      <c r="A96" s="4" t="n">
        <v>95</v>
      </c>
      <c r="B96" s="4" t="inlineStr">
        <is>
          <t>Convite cedente</t>
        </is>
      </c>
      <c r="C96" s="5" t="inlineStr">
        <is>
          <t>Convites de funcionário</t>
        </is>
      </c>
      <c r="D96" s="5" t="inlineStr">
        <is>
          <t>Códigos/convites para onboarding</t>
        </is>
      </c>
      <c r="E96" s="6" t="inlineStr"/>
      <c r="F96" s="5" t="inlineStr"/>
      <c r="G96" s="4" t="inlineStr">
        <is>
          <t>Alta</t>
        </is>
      </c>
    </row>
    <row r="97">
      <c r="A97" s="7" t="n">
        <v>96</v>
      </c>
      <c r="B97" s="7" t="inlineStr">
        <is>
          <t>Extensão Chrome LATAM</t>
        </is>
      </c>
      <c r="C97" s="8" t="inlineStr">
        <is>
          <t>Página de download</t>
        </is>
      </c>
      <c r="D97" s="8" t="inlineStr">
        <is>
          <t>ZIP + instruções no dashboard</t>
        </is>
      </c>
      <c r="E97" s="6" t="inlineStr"/>
      <c r="F97" s="8" t="inlineStr"/>
      <c r="G97" s="7" t="inlineStr">
        <is>
          <t>Alta</t>
        </is>
      </c>
    </row>
    <row r="98">
      <c r="A98" s="4" t="n">
        <v>97</v>
      </c>
      <c r="B98" s="4" t="inlineStr">
        <is>
          <t>Extensão Chrome LATAM</t>
        </is>
      </c>
      <c r="C98" s="5" t="inlineStr">
        <is>
          <t>Sessão de preenchimento</t>
        </is>
      </c>
      <c r="D98" s="5" t="inlineStr">
        <is>
          <t>API com dados da venda logada</t>
        </is>
      </c>
      <c r="E98" s="6" t="inlineStr"/>
      <c r="F98" s="5" t="inlineStr"/>
      <c r="G98" s="4" t="inlineStr">
        <is>
          <t>Alta</t>
        </is>
      </c>
    </row>
    <row r="99">
      <c r="A99" s="7" t="n">
        <v>98</v>
      </c>
      <c r="B99" s="7" t="inlineStr">
        <is>
          <t>Extensão Chrome LATAM</t>
        </is>
      </c>
      <c r="C99" s="8" t="inlineStr">
        <is>
          <t>Auto-fill passageiros</t>
        </is>
      </c>
      <c r="D99" s="8" t="inlineStr">
        <is>
          <t>Preenche nome, CPF, data, sexo, contato no formulário v2</t>
        </is>
      </c>
      <c r="E99" s="6" t="inlineStr"/>
      <c r="F99" s="8" t="inlineStr"/>
      <c r="G99" s="7" t="inlineStr">
        <is>
          <t>Alta</t>
        </is>
      </c>
    </row>
    <row r="100">
      <c r="A100" s="4" t="n">
        <v>99</v>
      </c>
      <c r="B100" s="4" t="inlineStr">
        <is>
          <t>Extensão Chrome LATAM</t>
        </is>
      </c>
      <c r="C100" s="5" t="inlineStr">
        <is>
          <t>Auto-fill pagamento</t>
        </is>
      </c>
      <c r="D100" s="5" t="inlineStr">
        <is>
          <t>Preenche cartão e cobrança (sem CVV)</t>
        </is>
      </c>
      <c r="E100" s="6" t="inlineStr"/>
      <c r="F100" s="5" t="inlineStr"/>
      <c r="G100" s="4" t="inlineStr">
        <is>
          <t>Alta</t>
        </is>
      </c>
    </row>
    <row r="101">
      <c r="A101" s="7" t="n">
        <v>100</v>
      </c>
      <c r="B101" s="7" t="inlineStr">
        <is>
          <t>Extensão Chrome LATAM</t>
        </is>
      </c>
      <c r="C101" s="8" t="inlineStr">
        <is>
          <t>Popup / botão in-page</t>
        </is>
      </c>
      <c r="D101" s="8" t="inlineStr">
        <is>
          <t>Disparo do preenchimento na aba LATAM</t>
        </is>
      </c>
      <c r="E101" s="6" t="inlineStr"/>
      <c r="F101" s="8" t="inlineStr"/>
      <c r="G101" s="7" t="inlineStr">
        <is>
          <t>Alta</t>
        </is>
      </c>
    </row>
    <row r="102">
      <c r="A102" s="4" t="n">
        <v>101</v>
      </c>
      <c r="B102" s="4" t="inlineStr">
        <is>
          <t>Infra / Stack</t>
        </is>
      </c>
      <c r="C102" s="5" t="inlineStr">
        <is>
          <t>Next.js + Prisma multi-programa</t>
        </is>
      </c>
      <c r="D102" s="5" t="inlineStr">
        <is>
          <t>Full-stack Latam/Smiles/Livelo/Esfera + balcão</t>
        </is>
      </c>
      <c r="E102" s="6" t="inlineStr"/>
      <c r="F102" s="5" t="inlineStr"/>
      <c r="G102" s="4" t="inlineStr">
        <is>
          <t>Alta</t>
        </is>
      </c>
    </row>
    <row r="103">
      <c r="A103" s="7" t="n">
        <v>102</v>
      </c>
      <c r="B103" s="7" t="inlineStr">
        <is>
          <t>Infra / Stack</t>
        </is>
      </c>
      <c r="C103" s="8" t="inlineStr">
        <is>
          <t>Credenciais sensíveis</t>
        </is>
      </c>
      <c r="D103" s="8" t="inlineStr">
        <is>
          <t>Reveal controlado, cards, exclusão com PDF</t>
        </is>
      </c>
      <c r="E103" s="6" t="inlineStr"/>
      <c r="F103" s="8" t="inlineStr"/>
      <c r="G103" s="7" t="inlineStr">
        <is>
          <t>Alta</t>
        </is>
      </c>
    </row>
  </sheetData>
  <autoFilter ref="A1:G103"/>
  <conditionalFormatting sqref="E2:E103">
    <cfRule type="expression" priority="1" dxfId="0">
      <formula>$E2="Sim"</formula>
    </cfRule>
    <cfRule type="expression" priority="2" dxfId="1">
      <formula>$E2="Não"</formula>
    </cfRule>
  </conditionalFormatting>
  <dataValidations count="1">
    <dataValidation sqref="E2:E103" showDropDown="0" showInputMessage="0" showErrorMessage="0" allowBlank="1" errorTitle="Interesse" error="Escolha Sim ou Não" promptTitle="Interesse?" prompt="Marque se tem interesse nesta função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</cols>
  <sheetData>
    <row r="1">
      <c r="A1" s="9" t="inlineStr">
        <is>
          <t>Resumo de interesse</t>
        </is>
      </c>
    </row>
    <row r="3">
      <c r="A3" t="inlineStr">
        <is>
          <t>Total de funções</t>
        </is>
      </c>
      <c r="B3">
        <f>COUNTA(Funções!C2:C103)</f>
        <v/>
      </c>
    </row>
    <row r="4">
      <c r="A4" t="inlineStr">
        <is>
          <t>Com interesse (Sim)</t>
        </is>
      </c>
      <c r="B4">
        <f>COUNTIF(Funções!E2:E103,"Sim")</f>
        <v/>
      </c>
    </row>
    <row r="5">
      <c r="A5" t="inlineStr">
        <is>
          <t>Sem interesse (Não)</t>
        </is>
      </c>
      <c r="B5">
        <f>COUNTIF(Funções!E2:E103,"Não")</f>
        <v/>
      </c>
    </row>
    <row r="6">
      <c r="A6" t="inlineStr">
        <is>
          <t>Em branco</t>
        </is>
      </c>
      <c r="B6">
        <f>COUNTBLANK(Funções!E2:E103)</f>
        <v/>
      </c>
    </row>
    <row r="8">
      <c r="A8" s="10" t="inlineStr">
        <is>
          <t>Por módulo (marque Interesse na aba Funções; este bloco é referência)</t>
        </is>
      </c>
    </row>
    <row r="9">
      <c r="A9" s="11" t="inlineStr">
        <is>
          <t>Módulo</t>
        </is>
      </c>
      <c r="B9" s="11" t="inlineStr">
        <is>
          <t>Qtd funções</t>
        </is>
      </c>
      <c r="C9" s="11" t="inlineStr">
        <is>
          <t>Sim</t>
        </is>
      </c>
      <c r="D9" s="11" t="inlineStr">
        <is>
          <t>Não</t>
        </is>
      </c>
    </row>
    <row r="10">
      <c r="A10" t="inlineStr">
        <is>
          <t>Autenticação e acesso</t>
        </is>
      </c>
      <c r="B10">
        <f>COUNTIF(Funções!B:B,A10)</f>
        <v/>
      </c>
      <c r="C10">
        <f>COUNTIFS(Funções!B:B,A10,Funções!E:E,"Sim")</f>
        <v/>
      </c>
      <c r="D10">
        <f>COUNTIFS(Funções!B:B,A10,Funções!E:E,"Não")</f>
        <v/>
      </c>
    </row>
    <row r="11">
      <c r="A11" t="inlineStr">
        <is>
          <t>Página inicial e equipe</t>
        </is>
      </c>
      <c r="B11">
        <f>COUNTIF(Funções!B:B,A11)</f>
        <v/>
      </c>
      <c r="C11">
        <f>COUNTIFS(Funções!B:B,A11,Funções!E:E,"Sim")</f>
        <v/>
      </c>
      <c r="D11">
        <f>COUNTIFS(Funções!B:B,A11,Funções!E:E,"Não")</f>
        <v/>
      </c>
    </row>
    <row r="12">
      <c r="A12" t="inlineStr">
        <is>
          <t>Cedentes</t>
        </is>
      </c>
      <c r="B12">
        <f>COUNTIF(Funções!B:B,A12)</f>
        <v/>
      </c>
      <c r="C12">
        <f>COUNTIFS(Funções!B:B,A12,Funções!E:E,"Sim")</f>
        <v/>
      </c>
      <c r="D12">
        <f>COUNTIFS(Funções!B:B,A12,Funções!E:E,"Não")</f>
        <v/>
      </c>
    </row>
    <row r="13">
      <c r="A13" t="inlineStr">
        <is>
          <t>Funcionários</t>
        </is>
      </c>
      <c r="B13">
        <f>COUNTIF(Funções!B:B,A13)</f>
        <v/>
      </c>
      <c r="C13">
        <f>COUNTIFS(Funções!B:B,A13,Funções!E:E,"Sim")</f>
        <v/>
      </c>
      <c r="D13">
        <f>COUNTIFS(Funções!B:B,A13,Funções!E:E,"Não")</f>
        <v/>
      </c>
    </row>
    <row r="14">
      <c r="A14" t="inlineStr">
        <is>
          <t>Clientes</t>
        </is>
      </c>
      <c r="B14">
        <f>COUNTIF(Funções!B:B,A14)</f>
        <v/>
      </c>
      <c r="C14">
        <f>COUNTIFS(Funções!B:B,A14,Funções!E:E,"Sim")</f>
        <v/>
      </c>
      <c r="D14">
        <f>COUNTIFS(Funções!B:B,A14,Funções!E:E,"Não")</f>
        <v/>
      </c>
    </row>
    <row r="15">
      <c r="A15" t="inlineStr">
        <is>
          <t>Afiliados (admin)</t>
        </is>
      </c>
      <c r="B15">
        <f>COUNTIF(Funções!B:B,A15)</f>
        <v/>
      </c>
      <c r="C15">
        <f>COUNTIFS(Funções!B:B,A15,Funções!E:E,"Sim")</f>
        <v/>
      </c>
      <c r="D15">
        <f>COUNTIFS(Funções!B:B,A15,Funções!E:E,"Não")</f>
        <v/>
      </c>
    </row>
    <row r="16">
      <c r="A16" t="inlineStr">
        <is>
          <t>Pendências</t>
        </is>
      </c>
      <c r="B16">
        <f>COUNTIF(Funções!B:B,A16)</f>
        <v/>
      </c>
      <c r="C16">
        <f>COUNTIFS(Funções!B:B,A16,Funções!E:E,"Sim")</f>
        <v/>
      </c>
      <c r="D16">
        <f>COUNTIFS(Funções!B:B,A16,Funções!E:E,"Não")</f>
        <v/>
      </c>
    </row>
    <row r="17">
      <c r="A17" t="inlineStr">
        <is>
          <t>Pontos</t>
        </is>
      </c>
      <c r="B17">
        <f>COUNTIF(Funções!B:B,A17)</f>
        <v/>
      </c>
      <c r="C17">
        <f>COUNTIFS(Funções!B:B,A17,Funções!E:E,"Sim")</f>
        <v/>
      </c>
      <c r="D17">
        <f>COUNTIFS(Funções!B:B,A17,Funções!E:E,"Não")</f>
        <v/>
      </c>
    </row>
    <row r="18">
      <c r="A18" t="inlineStr">
        <is>
          <t>Clubes</t>
        </is>
      </c>
      <c r="B18">
        <f>COUNTIF(Funções!B:B,A18)</f>
        <v/>
      </c>
      <c r="C18">
        <f>COUNTIFS(Funções!B:B,A18,Funções!E:E,"Sim")</f>
        <v/>
      </c>
      <c r="D18">
        <f>COUNTIFS(Funções!B:B,A18,Funções!E:E,"Não")</f>
        <v/>
      </c>
    </row>
    <row r="19">
      <c r="A19" t="inlineStr">
        <is>
          <t>Compras</t>
        </is>
      </c>
      <c r="B19">
        <f>COUNTIF(Funções!B:B,A19)</f>
        <v/>
      </c>
      <c r="C19">
        <f>COUNTIFS(Funções!B:B,A19,Funções!E:E,"Sim")</f>
        <v/>
      </c>
      <c r="D19">
        <f>COUNTIFS(Funções!B:B,A19,Funções!E:E,"Não")</f>
        <v/>
      </c>
    </row>
    <row r="20">
      <c r="A20" t="inlineStr">
        <is>
          <t>Vendas</t>
        </is>
      </c>
      <c r="B20">
        <f>COUNTIF(Funções!B:B,A20)</f>
        <v/>
      </c>
      <c r="C20">
        <f>COUNTIFS(Funções!B:B,A20,Funções!E:E,"Sim")</f>
        <v/>
      </c>
      <c r="D20">
        <f>COUNTIFS(Funções!B:B,A20,Funções!E:E,"Não")</f>
        <v/>
      </c>
    </row>
    <row r="21">
      <c r="A21" t="inlineStr">
        <is>
          <t>Check Localizador</t>
        </is>
      </c>
      <c r="B21">
        <f>COUNTIF(Funções!B:B,A21)</f>
        <v/>
      </c>
      <c r="C21">
        <f>COUNTIFS(Funções!B:B,A21,Funções!E:E,"Sim")</f>
        <v/>
      </c>
      <c r="D21">
        <f>COUNTIFS(Funções!B:B,A21,Funções!E:E,"Não")</f>
        <v/>
      </c>
    </row>
    <row r="22">
      <c r="A22" t="inlineStr">
        <is>
          <t>Lucros e comissões</t>
        </is>
      </c>
      <c r="B22">
        <f>COUNTIF(Funções!B:B,A22)</f>
        <v/>
      </c>
      <c r="C22">
        <f>COUNTIFS(Funções!B:B,A22,Funções!E:E,"Sim")</f>
        <v/>
      </c>
      <c r="D22">
        <f>COUNTIFS(Funções!B:B,A22,Funções!E:E,"Não")</f>
        <v/>
      </c>
    </row>
    <row r="23">
      <c r="A23" t="inlineStr">
        <is>
          <t>Análise e estratégia</t>
        </is>
      </c>
      <c r="B23">
        <f>COUNTIF(Funções!B:B,A23)</f>
        <v/>
      </c>
      <c r="C23">
        <f>COUNTIFS(Funções!B:B,A23,Funções!E:E,"Sim")</f>
        <v/>
      </c>
      <c r="D23">
        <f>COUNTIFS(Funções!B:B,A23,Funções!E:E,"Não")</f>
        <v/>
      </c>
    </row>
    <row r="24">
      <c r="A24" t="inlineStr">
        <is>
          <t>Contas selecionadas</t>
        </is>
      </c>
      <c r="B24">
        <f>COUNTIF(Funções!B:B,A24)</f>
        <v/>
      </c>
      <c r="C24">
        <f>COUNTIFS(Funções!B:B,A24,Funções!E:E,"Sim")</f>
        <v/>
      </c>
      <c r="D24">
        <f>COUNTIFS(Funções!B:B,A24,Funções!E:E,"Não")</f>
        <v/>
      </c>
    </row>
    <row r="25">
      <c r="A25" t="inlineStr">
        <is>
          <t>Financeiro</t>
        </is>
      </c>
      <c r="B25">
        <f>COUNTIF(Funções!B:B,A25)</f>
        <v/>
      </c>
      <c r="C25">
        <f>COUNTIFS(Funções!B:B,A25,Funções!E:E,"Sim")</f>
        <v/>
      </c>
      <c r="D25">
        <f>COUNTIFS(Funções!B:B,A25,Funções!E:E,"Não")</f>
        <v/>
      </c>
    </row>
    <row r="26">
      <c r="A26" t="inlineStr">
        <is>
          <t>Contabilidade</t>
        </is>
      </c>
      <c r="B26">
        <f>COUNTIF(Funções!B:B,A26)</f>
        <v/>
      </c>
      <c r="C26">
        <f>COUNTIFS(Funções!B:B,A26,Funções!E:E,"Sim")</f>
        <v/>
      </c>
      <c r="D26">
        <f>COUNTIFS(Funções!B:B,A26,Funções!E:E,"Não")</f>
        <v/>
      </c>
    </row>
    <row r="27">
      <c r="A27" t="inlineStr">
        <is>
          <t>Wallet</t>
        </is>
      </c>
      <c r="B27">
        <f>COUNTIF(Funções!B:B,A27)</f>
        <v/>
      </c>
      <c r="C27">
        <f>COUNTIFS(Funções!B:B,A27,Funções!E:E,"Sim")</f>
        <v/>
      </c>
      <c r="D27">
        <f>COUNTIFS(Funções!B:B,A27,Funções!E:E,"Não")</f>
        <v/>
      </c>
    </row>
    <row r="28">
      <c r="A28" t="inlineStr">
        <is>
          <t>Indicações</t>
        </is>
      </c>
      <c r="B28">
        <f>COUNTIF(Funções!B:B,A28)</f>
        <v/>
      </c>
      <c r="C28">
        <f>COUNTIFS(Funções!B:B,A28,Funções!E:E,"Sim")</f>
        <v/>
      </c>
      <c r="D28">
        <f>COUNTIFS(Funções!B:B,A28,Funções!E:E,"Não")</f>
        <v/>
      </c>
    </row>
    <row r="29">
      <c r="A29" t="inlineStr">
        <is>
          <t>Emissões</t>
        </is>
      </c>
      <c r="B29">
        <f>COUNTIF(Funções!B:B,A29)</f>
        <v/>
      </c>
      <c r="C29">
        <f>COUNTIFS(Funções!B:B,A29,Funções!E:E,"Sim")</f>
        <v/>
      </c>
      <c r="D29">
        <f>COUNTIFS(Funções!B:B,A29,Funções!E:E,"Não")</f>
        <v/>
      </c>
    </row>
    <row r="30">
      <c r="A30" t="inlineStr">
        <is>
          <t>Balcão</t>
        </is>
      </c>
      <c r="B30">
        <f>COUNTIF(Funções!B:B,A30)</f>
        <v/>
      </c>
      <c r="C30">
        <f>COUNTIFS(Funções!B:B,A30,Funções!E:E,"Sim")</f>
        <v/>
      </c>
      <c r="D30">
        <f>COUNTIFS(Funções!B:B,A30,Funções!E:E,"Não")</f>
        <v/>
      </c>
    </row>
    <row r="31">
      <c r="A31" t="inlineStr">
        <is>
          <t>Protocolos</t>
        </is>
      </c>
      <c r="B31">
        <f>COUNTIF(Funções!B:B,A31)</f>
        <v/>
      </c>
      <c r="C31">
        <f>COUNTIFS(Funções!B:B,A31,Funções!E:E,"Sim")</f>
        <v/>
      </c>
      <c r="D31">
        <f>COUNTIFS(Funções!B:B,A31,Funções!E:E,"Não")</f>
        <v/>
      </c>
    </row>
    <row r="32">
      <c r="A32" t="inlineStr">
        <is>
          <t>Termos / Biometria</t>
        </is>
      </c>
      <c r="B32">
        <f>COUNTIF(Funções!B:B,A32)</f>
        <v/>
      </c>
      <c r="C32">
        <f>COUNTIFS(Funções!B:B,A32,Funções!E:E,"Sim")</f>
        <v/>
      </c>
      <c r="D32">
        <f>COUNTIFS(Funções!B:B,A32,Funções!E:E,"Não")</f>
        <v/>
      </c>
    </row>
    <row r="33">
      <c r="A33" t="inlineStr">
        <is>
          <t>E-mails (Gmail)</t>
        </is>
      </c>
      <c r="B33">
        <f>COUNTIF(Funções!B:B,A33)</f>
        <v/>
      </c>
      <c r="C33">
        <f>COUNTIFS(Funções!B:B,A33,Funções!E:E,"Sim")</f>
        <v/>
      </c>
      <c r="D33">
        <f>COUNTIFS(Funções!B:B,A33,Funções!E:E,"Não")</f>
        <v/>
      </c>
    </row>
    <row r="34">
      <c r="A34" t="inlineStr">
        <is>
          <t>Grupo VIP WhatsApp</t>
        </is>
      </c>
      <c r="B34">
        <f>COUNTIF(Funções!B:B,A34)</f>
        <v/>
      </c>
      <c r="C34">
        <f>COUNTIFS(Funções!B:B,A34,Funções!E:E,"Sim")</f>
        <v/>
      </c>
      <c r="D34">
        <f>COUNTIFS(Funções!B:B,A34,Funções!E:E,"Não")</f>
        <v/>
      </c>
    </row>
    <row r="35">
      <c r="A35" t="inlineStr">
        <is>
          <t>Portal afiliados</t>
        </is>
      </c>
      <c r="B35">
        <f>COUNTIF(Funções!B:B,A35)</f>
        <v/>
      </c>
      <c r="C35">
        <f>COUNTIFS(Funções!B:B,A35,Funções!E:E,"Sim")</f>
        <v/>
      </c>
      <c r="D35">
        <f>COUNTIFS(Funções!B:B,A35,Funções!E:E,"Não")</f>
        <v/>
      </c>
    </row>
    <row r="36">
      <c r="A36" t="inlineStr">
        <is>
          <t>Convite cedente</t>
        </is>
      </c>
      <c r="B36">
        <f>COUNTIF(Funções!B:B,A36)</f>
        <v/>
      </c>
      <c r="C36">
        <f>COUNTIFS(Funções!B:B,A36,Funções!E:E,"Sim")</f>
        <v/>
      </c>
      <c r="D36">
        <f>COUNTIFS(Funções!B:B,A36,Funções!E:E,"Não")</f>
        <v/>
      </c>
    </row>
    <row r="37">
      <c r="A37" t="inlineStr">
        <is>
          <t>Extensão Chrome LATAM</t>
        </is>
      </c>
      <c r="B37">
        <f>COUNTIF(Funções!B:B,A37)</f>
        <v/>
      </c>
      <c r="C37">
        <f>COUNTIFS(Funções!B:B,A37,Funções!E:E,"Sim")</f>
        <v/>
      </c>
      <c r="D37">
        <f>COUNTIFS(Funções!B:B,A37,Funções!E:E,"Não")</f>
        <v/>
      </c>
    </row>
    <row r="38">
      <c r="A38" t="inlineStr">
        <is>
          <t>Infra / Stack</t>
        </is>
      </c>
      <c r="B38">
        <f>COUNTIF(Funções!B:B,A38)</f>
        <v/>
      </c>
      <c r="C38">
        <f>COUNTIFS(Funções!B:B,A38,Funções!E:E,"Sim")</f>
        <v/>
      </c>
      <c r="D38">
        <f>COUNTIFS(Funções!B:B,A38,Funções!E:E,"Não")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2026-08-02T19:37:59Z</dcterms:created>
  <dcterms:modified xsi:type="dcterms:W3CDTF">2026-08-02T19:37:59Z</dcterms:modified>
</cp:coreProperties>
</file>